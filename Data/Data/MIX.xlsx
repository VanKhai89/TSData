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ipham\Desktop\Developer\2024_04_28\Data\data\"/>
    </mc:Choice>
  </mc:AlternateContent>
  <bookViews>
    <workbookView xWindow="0" yWindow="0" windowWidth="28800" windowHeight="1230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3" i="2"/>
</calcChain>
</file>

<file path=xl/sharedStrings.xml><?xml version="1.0" encoding="utf-8"?>
<sst xmlns="http://schemas.openxmlformats.org/spreadsheetml/2006/main" count="67" uniqueCount="54">
  <si>
    <t>STYLE_1</t>
  </si>
  <si>
    <t>STYLE_2</t>
  </si>
  <si>
    <t>KQ_1</t>
  </si>
  <si>
    <t>Đất</t>
  </si>
  <si>
    <t>Gỗ</t>
  </si>
  <si>
    <t>Vỏ</t>
  </si>
  <si>
    <t>Xương</t>
  </si>
  <si>
    <t>Ngọc</t>
  </si>
  <si>
    <t>Thạch, Thủy Tinh</t>
  </si>
  <si>
    <t>Da</t>
  </si>
  <si>
    <t>Vải</t>
  </si>
  <si>
    <t>Giấy</t>
  </si>
  <si>
    <t>Trúc</t>
  </si>
  <si>
    <t>Thảo Dược</t>
  </si>
  <si>
    <t>Đá</t>
  </si>
  <si>
    <t>Vàng</t>
  </si>
  <si>
    <t>Bạc</t>
  </si>
  <si>
    <t>Ngân</t>
  </si>
  <si>
    <t>Đồng</t>
  </si>
  <si>
    <t>Sắt</t>
  </si>
  <si>
    <t>Thiết</t>
  </si>
  <si>
    <t>Thủy tinh tím</t>
  </si>
  <si>
    <t>KIM</t>
  </si>
  <si>
    <t>Thủy tinh đỏ, hồng</t>
  </si>
  <si>
    <t>Thiếc</t>
  </si>
  <si>
    <t>Đá + đồ, Vải = Tay</t>
  </si>
  <si>
    <t>25, 32, 7</t>
  </si>
  <si>
    <t>1,2,3,4,5,6,7</t>
  </si>
  <si>
    <t>10,11,12,13,14</t>
  </si>
  <si>
    <t>25,27</t>
  </si>
  <si>
    <t>11,12,13,14</t>
  </si>
  <si>
    <t>10,11,12,13,14, 31</t>
  </si>
  <si>
    <t>17,18</t>
  </si>
  <si>
    <t>10, 11</t>
  </si>
  <si>
    <t>11, 13</t>
  </si>
  <si>
    <t>12,13</t>
  </si>
  <si>
    <t>10,11</t>
  </si>
  <si>
    <t>26,28,30,35,40,41,42,43,44,45,46</t>
  </si>
  <si>
    <t>case 25: return "+HP";</t>
  </si>
  <si>
    <t>case 26: return "+SP";</t>
  </si>
  <si>
    <t>case 64: return "+Fai";</t>
  </si>
  <si>
    <t>case 65: return "Kim Toả";</t>
  </si>
  <si>
    <t>case 66: return "Mê";</t>
  </si>
  <si>
    <t>case 67: return "Tướng Tinh";</t>
  </si>
  <si>
    <t>case 207: return "HP";</t>
  </si>
  <si>
    <t>case 208: return "SP";</t>
  </si>
  <si>
    <t>case 210: return "ATK";</t>
  </si>
  <si>
    <t>case 211: return "DEF";</t>
  </si>
  <si>
    <t>case 212: return "INT";</t>
  </si>
  <si>
    <t>case 214: return "AGI";</t>
  </si>
  <si>
    <t>case 217: return "TDT";</t>
  </si>
  <si>
    <t>case 218: return "HPX";</t>
  </si>
  <si>
    <t>case 219: return "SPX";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</si>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</sst>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E19" sqref="E19"/>
    </sheetView>
  </sheetViews>
  <sheetFormatPr defaultRowHeight="15" x14ac:dyDescent="0.25"/>
  <cols>
    <col min="1" max="1" width="39.28515625" style="1" customWidth="1"/>
    <col min="2" max="2" width="22.7109375" style="1" customWidth="1"/>
    <col min="3" max="3" width="15.85546875" style="2" customWidth="1"/>
    <col min="4" max="4" width="9.140625" style="1"/>
    <col min="5" max="5" width="48.5703125" style="1" customWidth="1"/>
    <col min="6" max="8" width="9.140625" style="1"/>
    <col min="9" max="9" width="27.28515625" style="1" customWidth="1"/>
    <col min="10" max="13" width="9.140625" style="1"/>
    <col min="14" max="14" width="9.140625" style="1" customWidth="1"/>
    <col min="15" max="15" width="18.5703125" style="1" customWidth="1"/>
    <col min="16" max="16" width="10.140625" style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2" t="s">
        <v>2</v>
      </c>
      <c r="N1" s="1">
        <v>24</v>
      </c>
      <c r="O1" s="1" t="s">
        <v>3</v>
      </c>
    </row>
    <row r="2" spans="1:16" x14ac:dyDescent="0.25">
      <c r="A2" s="1">
        <v>24</v>
      </c>
      <c r="B2" s="1" t="s">
        <v>29</v>
      </c>
      <c r="C2" s="2">
        <v>7</v>
      </c>
      <c r="E2" s="1" t="s">
        <v>25</v>
      </c>
      <c r="N2" s="1">
        <v>25</v>
      </c>
      <c r="O2" s="1" t="s">
        <v>4</v>
      </c>
    </row>
    <row r="3" spans="1:16" x14ac:dyDescent="0.25">
      <c r="A3" s="1">
        <v>25</v>
      </c>
      <c r="B3" s="1">
        <v>25</v>
      </c>
      <c r="C3" s="2" t="s">
        <v>26</v>
      </c>
      <c r="N3" s="1">
        <v>26</v>
      </c>
      <c r="O3" s="1" t="s">
        <v>5</v>
      </c>
    </row>
    <row r="4" spans="1:16" x14ac:dyDescent="0.25">
      <c r="A4" s="1">
        <v>26</v>
      </c>
      <c r="B4" s="1" t="s">
        <v>27</v>
      </c>
      <c r="C4" s="2" t="s">
        <v>27</v>
      </c>
      <c r="N4" s="1">
        <v>27</v>
      </c>
      <c r="O4" s="1" t="s">
        <v>6</v>
      </c>
    </row>
    <row r="5" spans="1:16" x14ac:dyDescent="0.25">
      <c r="A5" s="1">
        <v>26</v>
      </c>
      <c r="B5" s="1" t="s">
        <v>31</v>
      </c>
      <c r="C5" s="2" t="s">
        <v>28</v>
      </c>
      <c r="N5" s="1">
        <v>28</v>
      </c>
      <c r="O5" s="1" t="s">
        <v>7</v>
      </c>
    </row>
    <row r="6" spans="1:16" x14ac:dyDescent="0.25">
      <c r="A6" s="1">
        <v>28</v>
      </c>
      <c r="B6" s="1" t="s">
        <v>31</v>
      </c>
      <c r="C6" s="2">
        <v>11</v>
      </c>
      <c r="N6" s="1">
        <v>29</v>
      </c>
      <c r="O6" s="1" t="s">
        <v>8</v>
      </c>
    </row>
    <row r="7" spans="1:16" x14ac:dyDescent="0.25">
      <c r="A7" s="1">
        <v>29</v>
      </c>
      <c r="N7" s="1">
        <v>30</v>
      </c>
      <c r="O7" s="1" t="s">
        <v>9</v>
      </c>
    </row>
    <row r="8" spans="1:16" x14ac:dyDescent="0.25">
      <c r="A8" s="1">
        <v>30</v>
      </c>
      <c r="B8" s="1" t="s">
        <v>31</v>
      </c>
      <c r="C8" s="2" t="s">
        <v>30</v>
      </c>
      <c r="N8" s="1">
        <v>31</v>
      </c>
      <c r="O8" s="1" t="s">
        <v>10</v>
      </c>
    </row>
    <row r="9" spans="1:16" x14ac:dyDescent="0.25">
      <c r="A9" s="1">
        <v>32</v>
      </c>
      <c r="B9" s="1">
        <v>32</v>
      </c>
      <c r="C9" s="2">
        <v>16</v>
      </c>
      <c r="N9" s="1">
        <v>32</v>
      </c>
      <c r="O9" s="1" t="s">
        <v>11</v>
      </c>
    </row>
    <row r="10" spans="1:16" x14ac:dyDescent="0.25">
      <c r="A10" s="1">
        <v>33</v>
      </c>
      <c r="B10" s="1">
        <v>32</v>
      </c>
      <c r="C10" s="2">
        <v>16</v>
      </c>
      <c r="N10" s="1">
        <v>33</v>
      </c>
      <c r="O10" s="1" t="s">
        <v>12</v>
      </c>
    </row>
    <row r="11" spans="1:16" x14ac:dyDescent="0.25">
      <c r="A11" s="1">
        <v>34</v>
      </c>
      <c r="C11" s="2" t="s">
        <v>32</v>
      </c>
      <c r="N11" s="1">
        <v>34</v>
      </c>
      <c r="O11" s="1" t="s">
        <v>13</v>
      </c>
    </row>
    <row r="12" spans="1:16" x14ac:dyDescent="0.25">
      <c r="A12" s="1">
        <v>35</v>
      </c>
      <c r="B12" s="1" t="s">
        <v>31</v>
      </c>
      <c r="C12" s="2">
        <v>12</v>
      </c>
      <c r="D12" s="1">
        <v>211</v>
      </c>
      <c r="N12" s="1">
        <v>35</v>
      </c>
      <c r="O12" s="1" t="s">
        <v>14</v>
      </c>
    </row>
    <row r="13" spans="1:16" x14ac:dyDescent="0.25">
      <c r="A13" s="1">
        <v>40</v>
      </c>
      <c r="B13" s="1" t="s">
        <v>31</v>
      </c>
      <c r="C13" s="2">
        <v>10</v>
      </c>
      <c r="D13" s="1">
        <v>214</v>
      </c>
      <c r="N13" s="1">
        <v>40</v>
      </c>
      <c r="O13" s="1" t="s">
        <v>15</v>
      </c>
    </row>
    <row r="14" spans="1:16" x14ac:dyDescent="0.25">
      <c r="A14" s="1">
        <v>41</v>
      </c>
      <c r="B14" s="1" t="s">
        <v>31</v>
      </c>
      <c r="C14" s="2" t="s">
        <v>33</v>
      </c>
      <c r="D14" s="1">
        <v>211</v>
      </c>
      <c r="N14" s="1">
        <v>41</v>
      </c>
      <c r="O14" s="1" t="s">
        <v>16</v>
      </c>
    </row>
    <row r="15" spans="1:16" x14ac:dyDescent="0.25">
      <c r="A15" s="1">
        <v>42</v>
      </c>
      <c r="B15" s="1" t="s">
        <v>31</v>
      </c>
      <c r="C15" s="2" t="s">
        <v>34</v>
      </c>
      <c r="D15" s="3">
        <v>212214</v>
      </c>
      <c r="N15" s="1">
        <v>42</v>
      </c>
      <c r="O15" s="1" t="s">
        <v>18</v>
      </c>
    </row>
    <row r="16" spans="1:16" x14ac:dyDescent="0.25">
      <c r="A16" s="1">
        <v>43</v>
      </c>
      <c r="B16" s="1" t="s">
        <v>31</v>
      </c>
      <c r="C16" s="2" t="s">
        <v>35</v>
      </c>
      <c r="D16" s="3">
        <v>210211</v>
      </c>
      <c r="N16" s="1">
        <v>43</v>
      </c>
      <c r="O16" s="1" t="s">
        <v>19</v>
      </c>
      <c r="P16" s="1" t="s">
        <v>20</v>
      </c>
    </row>
    <row r="17" spans="1:18" x14ac:dyDescent="0.25">
      <c r="A17" s="1">
        <v>44</v>
      </c>
      <c r="B17" s="1" t="s">
        <v>31</v>
      </c>
      <c r="C17" s="2" t="s">
        <v>35</v>
      </c>
      <c r="D17" s="1">
        <v>211</v>
      </c>
      <c r="N17" s="1">
        <v>44</v>
      </c>
      <c r="O17" s="1" t="s">
        <v>24</v>
      </c>
      <c r="P17" s="1" t="s">
        <v>14</v>
      </c>
      <c r="Q17" s="1" t="s">
        <v>22</v>
      </c>
      <c r="R17" s="1" t="s">
        <v>17</v>
      </c>
    </row>
    <row r="18" spans="1:18" x14ac:dyDescent="0.25">
      <c r="A18" s="1">
        <v>45</v>
      </c>
      <c r="B18" s="1" t="s">
        <v>31</v>
      </c>
      <c r="C18" s="2">
        <v>10</v>
      </c>
      <c r="D18" s="3">
        <v>212214</v>
      </c>
      <c r="N18" s="1">
        <v>45</v>
      </c>
      <c r="O18" s="1" t="s">
        <v>21</v>
      </c>
    </row>
    <row r="19" spans="1:18" x14ac:dyDescent="0.25">
      <c r="A19" s="1">
        <v>46</v>
      </c>
      <c r="B19" s="1" t="s">
        <v>31</v>
      </c>
      <c r="C19" s="2" t="s">
        <v>36</v>
      </c>
      <c r="D19" s="3">
        <v>212214</v>
      </c>
      <c r="N19" s="1">
        <v>46</v>
      </c>
      <c r="O19" s="1" t="s">
        <v>23</v>
      </c>
    </row>
    <row r="23" spans="1:18" x14ac:dyDescent="0.25">
      <c r="I23" s="1" t="s">
        <v>38</v>
      </c>
    </row>
    <row r="24" spans="1:18" x14ac:dyDescent="0.25">
      <c r="I24" s="1" t="s">
        <v>39</v>
      </c>
    </row>
    <row r="25" spans="1:18" x14ac:dyDescent="0.25">
      <c r="I25" s="1" t="s">
        <v>40</v>
      </c>
    </row>
    <row r="26" spans="1:18" x14ac:dyDescent="0.25">
      <c r="E26" s="1" t="s">
        <v>37</v>
      </c>
      <c r="I26" s="1" t="s">
        <v>41</v>
      </c>
    </row>
    <row r="27" spans="1:18" x14ac:dyDescent="0.25">
      <c r="I27" s="1" t="s">
        <v>42</v>
      </c>
    </row>
    <row r="28" spans="1:18" x14ac:dyDescent="0.25">
      <c r="I28" s="1" t="s">
        <v>43</v>
      </c>
    </row>
    <row r="29" spans="1:18" x14ac:dyDescent="0.25">
      <c r="I29" s="1" t="s">
        <v>44</v>
      </c>
    </row>
    <row r="30" spans="1:18" x14ac:dyDescent="0.25">
      <c r="I30" s="1" t="s">
        <v>45</v>
      </c>
    </row>
    <row r="31" spans="1:18" x14ac:dyDescent="0.25">
      <c r="I31" s="1" t="s">
        <v>46</v>
      </c>
    </row>
    <row r="32" spans="1:18" x14ac:dyDescent="0.25">
      <c r="I32" s="1" t="s">
        <v>47</v>
      </c>
    </row>
    <row r="33" spans="9:9" x14ac:dyDescent="0.25">
      <c r="I33" s="1" t="s">
        <v>48</v>
      </c>
    </row>
    <row r="34" spans="9:9" x14ac:dyDescent="0.25">
      <c r="I34" s="1" t="s">
        <v>49</v>
      </c>
    </row>
    <row r="35" spans="9:9" x14ac:dyDescent="0.25">
      <c r="I35" s="1" t="s">
        <v>50</v>
      </c>
    </row>
    <row r="36" spans="9:9" x14ac:dyDescent="0.25">
      <c r="I36" s="1" t="s">
        <v>51</v>
      </c>
    </row>
    <row r="37" spans="9:9" x14ac:dyDescent="0.25">
      <c r="I37" s="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9" sqref="G9"/>
    </sheetView>
  </sheetViews>
  <sheetFormatPr defaultRowHeight="15" x14ac:dyDescent="0.25"/>
  <sheetData>
    <row r="1" spans="1:3" x14ac:dyDescent="0.25">
      <c r="A1" t="s">
        <v>53</v>
      </c>
    </row>
    <row r="2" spans="1:3" x14ac:dyDescent="0.25">
      <c r="C2">
        <v>90</v>
      </c>
    </row>
    <row r="3" spans="1:3" x14ac:dyDescent="0.25">
      <c r="B3">
        <f>(19 - 1)*5</f>
        <v>90</v>
      </c>
    </row>
    <row r="5" spans="1:3" x14ac:dyDescent="0.25">
      <c r="B5">
        <f>50/9</f>
        <v>5.5555555555555554</v>
      </c>
      <c r="C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khaipham</dc:creator>
  <cp:lastModifiedBy>khaipham</cp:lastModifiedBy>
  <dcterms:created xsi:type="dcterms:W3CDTF">2025-02-06T13:36:30Z</dcterms:created>
  <dcterms:modified xsi:type="dcterms:W3CDTF">2025-02-12T13:46:08Z</dcterms:modified>
</cp:coreProperties>
</file>